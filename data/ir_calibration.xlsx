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ChuongTrinhDaiHoc\HK251\Mechatronic system design\PhamNguyenTueLam\Detailed design\Electrical\Calib IR\"/>
    </mc:Choice>
  </mc:AlternateContent>
  <xr:revisionPtr revIDLastSave="0" documentId="13_ncr:1_{FEBBCD5D-2545-4EC5-9600-4027CF5205BA}" xr6:coauthVersionLast="45" xr6:coauthVersionMax="45" xr10:uidLastSave="{00000000-0000-0000-0000-000000000000}"/>
  <bookViews>
    <workbookView xWindow="3120" yWindow="3120" windowWidth="21600" windowHeight="11295" xr2:uid="{00000000-000D-0000-FFFF-FFFF00000000}"/>
  </bookViews>
  <sheets>
    <sheet name="IR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2" i="1" l="1"/>
  <c r="B41" i="1"/>
  <c r="B40" i="1"/>
  <c r="B39" i="1"/>
  <c r="B38" i="1"/>
  <c r="B37" i="1"/>
  <c r="B36" i="1"/>
  <c r="K34" i="1"/>
  <c r="C34" i="1"/>
  <c r="K32" i="1"/>
  <c r="L32" i="1"/>
  <c r="L33" i="1" s="1"/>
  <c r="M32" i="1"/>
  <c r="M33" i="1" s="1"/>
  <c r="N32" i="1"/>
  <c r="O32" i="1"/>
  <c r="O33" i="1" s="1"/>
  <c r="P32" i="1"/>
  <c r="P33" i="1" s="1"/>
  <c r="K33" i="1"/>
  <c r="N33" i="1"/>
  <c r="J33" i="1"/>
  <c r="J32" i="1"/>
  <c r="C32" i="1"/>
  <c r="D32" i="1"/>
  <c r="E32" i="1"/>
  <c r="F32" i="1"/>
  <c r="G32" i="1"/>
  <c r="H32" i="1"/>
  <c r="C33" i="1"/>
  <c r="D33" i="1"/>
  <c r="E33" i="1"/>
  <c r="F33" i="1"/>
  <c r="G33" i="1"/>
  <c r="H33" i="1"/>
  <c r="B33" i="1"/>
  <c r="B32" i="1"/>
</calcChain>
</file>

<file path=xl/sharedStrings.xml><?xml version="1.0" encoding="utf-8"?>
<sst xmlns="http://schemas.openxmlformats.org/spreadsheetml/2006/main" count="20" uniqueCount="19">
  <si>
    <t>Min</t>
  </si>
  <si>
    <t>Max</t>
  </si>
  <si>
    <t>IR 1</t>
  </si>
  <si>
    <t>Formula after calibration</t>
  </si>
  <si>
    <t>IR 2</t>
  </si>
  <si>
    <t>IR 3</t>
  </si>
  <si>
    <t>IR 4</t>
  </si>
  <si>
    <t>IR 5</t>
  </si>
  <si>
    <t>IR 6</t>
  </si>
  <si>
    <t>IR 7</t>
  </si>
  <si>
    <t>Mean (min)</t>
  </si>
  <si>
    <t>Mean (max)</t>
  </si>
  <si>
    <t>112+1.02(x-122)</t>
  </si>
  <si>
    <t>112+1.03(x-92)</t>
  </si>
  <si>
    <t>112+0.97(x-118)</t>
  </si>
  <si>
    <t>112+0.98(x-99)</t>
  </si>
  <si>
    <t>112+1(x-125)</t>
  </si>
  <si>
    <t>112+1.01(x-103)</t>
  </si>
  <si>
    <t>112+0.99(x-122)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</si>
</sst>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zoomScale="55" zoomScaleNormal="55" workbookViewId="0">
      <selection activeCell="E61" sqref="E61"/>
    </sheetView>
  </sheetViews>
  <sheetFormatPr defaultRowHeight="15" x14ac:dyDescent="0.25"/>
  <cols>
    <col min="10" max="10" width="9.140625" customWidth="1"/>
  </cols>
  <sheetData>
    <row r="1" spans="1:16" x14ac:dyDescent="0.25">
      <c r="A1" s="1" t="s">
        <v>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2"/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</row>
    <row r="2" spans="1:16" x14ac:dyDescent="0.25">
      <c r="A2" s="1">
        <v>1</v>
      </c>
      <c r="B2" s="3">
        <v>126</v>
      </c>
      <c r="C2" s="3">
        <v>100</v>
      </c>
      <c r="D2" s="3">
        <v>119</v>
      </c>
      <c r="E2" s="3">
        <v>112</v>
      </c>
      <c r="F2" s="3">
        <v>129</v>
      </c>
      <c r="G2" s="3">
        <v>114</v>
      </c>
      <c r="H2" s="3">
        <v>125</v>
      </c>
      <c r="I2" s="2"/>
      <c r="J2" s="3">
        <v>3757</v>
      </c>
      <c r="K2" s="3">
        <v>3691</v>
      </c>
      <c r="L2" s="3">
        <v>3917</v>
      </c>
      <c r="M2" s="3">
        <v>3858</v>
      </c>
      <c r="N2" s="3">
        <v>3807</v>
      </c>
      <c r="O2" s="3">
        <v>3775</v>
      </c>
      <c r="P2" s="3">
        <v>3844</v>
      </c>
    </row>
    <row r="3" spans="1:16" x14ac:dyDescent="0.25">
      <c r="A3" s="1">
        <v>2</v>
      </c>
      <c r="B3" s="3">
        <v>123</v>
      </c>
      <c r="C3" s="3">
        <v>98</v>
      </c>
      <c r="D3" s="3">
        <v>121</v>
      </c>
      <c r="E3" s="3">
        <v>112</v>
      </c>
      <c r="F3" s="3">
        <v>130</v>
      </c>
      <c r="G3" s="3">
        <v>111</v>
      </c>
      <c r="H3" s="3">
        <v>125</v>
      </c>
      <c r="I3" s="2"/>
      <c r="J3" s="3">
        <v>3755</v>
      </c>
      <c r="K3" s="3">
        <v>3696</v>
      </c>
      <c r="L3" s="3">
        <v>3918</v>
      </c>
      <c r="M3" s="3">
        <v>3858</v>
      </c>
      <c r="N3" s="3">
        <v>3807</v>
      </c>
      <c r="O3" s="3">
        <v>3780</v>
      </c>
      <c r="P3" s="3">
        <v>3839</v>
      </c>
    </row>
    <row r="4" spans="1:16" x14ac:dyDescent="0.25">
      <c r="A4" s="1">
        <v>3</v>
      </c>
      <c r="B4" s="3">
        <v>125</v>
      </c>
      <c r="C4" s="3">
        <v>98</v>
      </c>
      <c r="D4" s="3">
        <v>121</v>
      </c>
      <c r="E4" s="3">
        <v>110</v>
      </c>
      <c r="F4" s="3">
        <v>129</v>
      </c>
      <c r="G4" s="3">
        <v>111</v>
      </c>
      <c r="H4" s="3">
        <v>125</v>
      </c>
      <c r="I4" s="2"/>
      <c r="J4" s="3">
        <v>3751</v>
      </c>
      <c r="K4" s="3">
        <v>3695</v>
      </c>
      <c r="L4" s="3">
        <v>3911</v>
      </c>
      <c r="M4" s="3">
        <v>3847</v>
      </c>
      <c r="N4" s="3">
        <v>3799</v>
      </c>
      <c r="O4" s="3">
        <v>3774</v>
      </c>
      <c r="P4" s="3">
        <v>3845</v>
      </c>
    </row>
    <row r="5" spans="1:16" x14ac:dyDescent="0.25">
      <c r="A5" s="1">
        <v>4</v>
      </c>
      <c r="B5" s="3">
        <v>126</v>
      </c>
      <c r="C5" s="3">
        <v>101</v>
      </c>
      <c r="D5" s="3">
        <v>118</v>
      </c>
      <c r="E5" s="3">
        <v>112</v>
      </c>
      <c r="F5" s="3">
        <v>128</v>
      </c>
      <c r="G5" s="3">
        <v>111</v>
      </c>
      <c r="H5" s="3">
        <v>126</v>
      </c>
      <c r="I5" s="2"/>
      <c r="J5" s="3">
        <v>3759</v>
      </c>
      <c r="K5" s="3">
        <v>3694</v>
      </c>
      <c r="L5" s="3">
        <v>3916</v>
      </c>
      <c r="M5" s="3">
        <v>3857</v>
      </c>
      <c r="N5" s="3">
        <v>3805</v>
      </c>
      <c r="O5" s="3">
        <v>3774</v>
      </c>
      <c r="P5" s="3">
        <v>3849</v>
      </c>
    </row>
    <row r="6" spans="1:16" x14ac:dyDescent="0.25">
      <c r="A6" s="1">
        <v>5</v>
      </c>
      <c r="B6" s="3">
        <v>127</v>
      </c>
      <c r="C6" s="3">
        <v>99</v>
      </c>
      <c r="D6" s="3">
        <v>123</v>
      </c>
      <c r="E6" s="3">
        <v>111</v>
      </c>
      <c r="F6" s="3">
        <v>128</v>
      </c>
      <c r="G6" s="3">
        <v>110</v>
      </c>
      <c r="H6" s="3">
        <v>124</v>
      </c>
      <c r="I6" s="2"/>
      <c r="J6" s="3">
        <v>3755</v>
      </c>
      <c r="K6" s="3">
        <v>3696</v>
      </c>
      <c r="L6" s="3">
        <v>3913</v>
      </c>
      <c r="M6" s="3">
        <v>3851</v>
      </c>
      <c r="N6" s="3">
        <v>3801</v>
      </c>
      <c r="O6" s="3">
        <v>3779</v>
      </c>
      <c r="P6" s="3">
        <v>3845</v>
      </c>
    </row>
    <row r="7" spans="1:16" x14ac:dyDescent="0.25">
      <c r="A7" s="1">
        <v>6</v>
      </c>
      <c r="B7" s="3">
        <v>125</v>
      </c>
      <c r="C7" s="3">
        <v>102</v>
      </c>
      <c r="D7" s="3">
        <v>121</v>
      </c>
      <c r="E7" s="3">
        <v>109</v>
      </c>
      <c r="F7" s="3">
        <v>128</v>
      </c>
      <c r="G7" s="3">
        <v>111</v>
      </c>
      <c r="H7" s="3">
        <v>127</v>
      </c>
      <c r="I7" s="2"/>
      <c r="J7" s="3">
        <v>3753</v>
      </c>
      <c r="K7" s="3">
        <v>3695</v>
      </c>
      <c r="L7" s="3">
        <v>3910</v>
      </c>
      <c r="M7" s="3">
        <v>3857</v>
      </c>
      <c r="N7" s="3">
        <v>3805</v>
      </c>
      <c r="O7" s="3">
        <v>3777</v>
      </c>
      <c r="P7" s="3">
        <v>3843</v>
      </c>
    </row>
    <row r="8" spans="1:16" x14ac:dyDescent="0.25">
      <c r="A8" s="1">
        <v>7</v>
      </c>
      <c r="B8" s="3">
        <v>123</v>
      </c>
      <c r="C8" s="3">
        <v>101</v>
      </c>
      <c r="D8" s="3">
        <v>122</v>
      </c>
      <c r="E8" s="3">
        <v>112</v>
      </c>
      <c r="F8" s="3">
        <v>127</v>
      </c>
      <c r="G8" s="3">
        <v>111</v>
      </c>
      <c r="H8" s="3">
        <v>123</v>
      </c>
      <c r="I8" s="2"/>
      <c r="J8" s="3">
        <v>3753</v>
      </c>
      <c r="K8" s="3">
        <v>3696</v>
      </c>
      <c r="L8" s="3">
        <v>3913</v>
      </c>
      <c r="M8" s="3">
        <v>3856</v>
      </c>
      <c r="N8" s="3">
        <v>3810</v>
      </c>
      <c r="O8" s="3">
        <v>3783</v>
      </c>
      <c r="P8" s="3">
        <v>3850</v>
      </c>
    </row>
    <row r="9" spans="1:16" x14ac:dyDescent="0.25">
      <c r="A9" s="1">
        <v>8</v>
      </c>
      <c r="B9" s="3">
        <v>123</v>
      </c>
      <c r="C9" s="3">
        <v>96</v>
      </c>
      <c r="D9" s="3">
        <v>123</v>
      </c>
      <c r="E9" s="3">
        <v>111</v>
      </c>
      <c r="F9" s="3">
        <v>127</v>
      </c>
      <c r="G9" s="3">
        <v>111</v>
      </c>
      <c r="H9" s="3">
        <v>126</v>
      </c>
      <c r="I9" s="2"/>
      <c r="J9" s="3">
        <v>3747</v>
      </c>
      <c r="K9" s="3">
        <v>3691</v>
      </c>
      <c r="L9" s="3">
        <v>3911</v>
      </c>
      <c r="M9" s="3">
        <v>3857</v>
      </c>
      <c r="N9" s="3">
        <v>3806</v>
      </c>
      <c r="O9" s="3">
        <v>3773</v>
      </c>
      <c r="P9" s="3">
        <v>3846</v>
      </c>
    </row>
    <row r="10" spans="1:16" x14ac:dyDescent="0.25">
      <c r="A10" s="1">
        <v>9</v>
      </c>
      <c r="B10" s="3">
        <v>126</v>
      </c>
      <c r="C10" s="3">
        <v>97</v>
      </c>
      <c r="D10" s="3">
        <v>119</v>
      </c>
      <c r="E10" s="3">
        <v>112</v>
      </c>
      <c r="F10" s="3">
        <v>129</v>
      </c>
      <c r="G10" s="3">
        <v>110</v>
      </c>
      <c r="H10" s="3">
        <v>125</v>
      </c>
      <c r="I10" s="2"/>
      <c r="J10" s="3">
        <v>3749</v>
      </c>
      <c r="K10" s="3">
        <v>3697</v>
      </c>
      <c r="L10" s="3">
        <v>3909</v>
      </c>
      <c r="M10" s="3">
        <v>3859</v>
      </c>
      <c r="N10" s="3">
        <v>3799</v>
      </c>
      <c r="O10" s="3">
        <v>3776</v>
      </c>
      <c r="P10" s="3">
        <v>3846</v>
      </c>
    </row>
    <row r="11" spans="1:16" x14ac:dyDescent="0.25">
      <c r="A11" s="1">
        <v>10</v>
      </c>
      <c r="B11" s="3">
        <v>127</v>
      </c>
      <c r="C11" s="3">
        <v>100</v>
      </c>
      <c r="D11" s="3">
        <v>122</v>
      </c>
      <c r="E11" s="3">
        <v>110</v>
      </c>
      <c r="F11" s="3">
        <v>129</v>
      </c>
      <c r="G11" s="3">
        <v>111</v>
      </c>
      <c r="H11" s="3">
        <v>125</v>
      </c>
      <c r="I11" s="2"/>
      <c r="J11" s="3">
        <v>3751</v>
      </c>
      <c r="K11" s="3">
        <v>3696</v>
      </c>
      <c r="L11" s="3">
        <v>3914</v>
      </c>
      <c r="M11" s="3">
        <v>3856</v>
      </c>
      <c r="N11" s="3">
        <v>3806</v>
      </c>
      <c r="O11" s="3">
        <v>3774</v>
      </c>
      <c r="P11" s="3">
        <v>3847</v>
      </c>
    </row>
    <row r="12" spans="1:16" x14ac:dyDescent="0.25">
      <c r="A12" s="1">
        <v>11</v>
      </c>
      <c r="B12" s="3">
        <v>125</v>
      </c>
      <c r="C12" s="3">
        <v>102</v>
      </c>
      <c r="D12" s="3">
        <v>124</v>
      </c>
      <c r="E12" s="3">
        <v>109</v>
      </c>
      <c r="F12" s="3">
        <v>128</v>
      </c>
      <c r="G12" s="3">
        <v>111</v>
      </c>
      <c r="H12" s="3">
        <v>125</v>
      </c>
      <c r="I12" s="2"/>
      <c r="J12" s="3">
        <v>3749</v>
      </c>
      <c r="K12" s="3">
        <v>3696</v>
      </c>
      <c r="L12" s="3">
        <v>3919</v>
      </c>
      <c r="M12" s="3">
        <v>3857</v>
      </c>
      <c r="N12" s="3">
        <v>3806</v>
      </c>
      <c r="O12" s="3">
        <v>3776</v>
      </c>
      <c r="P12" s="3">
        <v>3844</v>
      </c>
    </row>
    <row r="13" spans="1:16" x14ac:dyDescent="0.25">
      <c r="A13" s="1">
        <v>12</v>
      </c>
      <c r="B13" s="3">
        <v>125</v>
      </c>
      <c r="C13" s="3">
        <v>99</v>
      </c>
      <c r="D13" s="3">
        <v>122</v>
      </c>
      <c r="E13" s="3">
        <v>112</v>
      </c>
      <c r="F13" s="3">
        <v>128</v>
      </c>
      <c r="G13" s="3">
        <v>109</v>
      </c>
      <c r="H13" s="3">
        <v>125</v>
      </c>
      <c r="I13" s="2"/>
      <c r="J13" s="3">
        <v>3753</v>
      </c>
      <c r="K13" s="3">
        <v>3695</v>
      </c>
      <c r="L13" s="3">
        <v>3918</v>
      </c>
      <c r="M13" s="3">
        <v>3856</v>
      </c>
      <c r="N13" s="3">
        <v>3804</v>
      </c>
      <c r="O13" s="3">
        <v>3778</v>
      </c>
      <c r="P13" s="3">
        <v>3849</v>
      </c>
    </row>
    <row r="14" spans="1:16" x14ac:dyDescent="0.25">
      <c r="A14" s="1">
        <v>13</v>
      </c>
      <c r="B14" s="3">
        <v>126</v>
      </c>
      <c r="C14" s="3">
        <v>100</v>
      </c>
      <c r="D14" s="3">
        <v>119</v>
      </c>
      <c r="E14" s="3">
        <v>111</v>
      </c>
      <c r="F14" s="3">
        <v>128</v>
      </c>
      <c r="G14" s="3">
        <v>112</v>
      </c>
      <c r="H14" s="3">
        <v>125</v>
      </c>
      <c r="I14" s="2"/>
      <c r="J14" s="3">
        <v>3750</v>
      </c>
      <c r="K14" s="3">
        <v>3696</v>
      </c>
      <c r="L14" s="3">
        <v>3919</v>
      </c>
      <c r="M14" s="3">
        <v>3856</v>
      </c>
      <c r="N14" s="3">
        <v>3809</v>
      </c>
      <c r="O14" s="3">
        <v>3777</v>
      </c>
      <c r="P14" s="3">
        <v>3846</v>
      </c>
    </row>
    <row r="15" spans="1:16" x14ac:dyDescent="0.25">
      <c r="A15" s="1">
        <v>14</v>
      </c>
      <c r="B15" s="3">
        <v>125</v>
      </c>
      <c r="C15" s="3">
        <v>99</v>
      </c>
      <c r="D15" s="3">
        <v>122</v>
      </c>
      <c r="E15" s="3">
        <v>112</v>
      </c>
      <c r="F15" s="3">
        <v>129</v>
      </c>
      <c r="G15" s="3">
        <v>112</v>
      </c>
      <c r="H15" s="3">
        <v>125</v>
      </c>
      <c r="I15" s="2"/>
      <c r="J15" s="3">
        <v>3755</v>
      </c>
      <c r="K15" s="3">
        <v>3698</v>
      </c>
      <c r="L15" s="3">
        <v>3914</v>
      </c>
      <c r="M15" s="3">
        <v>3856</v>
      </c>
      <c r="N15" s="3">
        <v>3803</v>
      </c>
      <c r="O15" s="3">
        <v>3776</v>
      </c>
      <c r="P15" s="3">
        <v>3850</v>
      </c>
    </row>
    <row r="16" spans="1:16" x14ac:dyDescent="0.25">
      <c r="A16" s="1">
        <v>15</v>
      </c>
      <c r="B16" s="3">
        <v>123</v>
      </c>
      <c r="C16" s="3">
        <v>98</v>
      </c>
      <c r="D16" s="3">
        <v>122</v>
      </c>
      <c r="E16" s="3">
        <v>111</v>
      </c>
      <c r="F16" s="3">
        <v>127</v>
      </c>
      <c r="G16" s="3">
        <v>109</v>
      </c>
      <c r="H16" s="3">
        <v>123</v>
      </c>
      <c r="I16" s="2"/>
      <c r="J16" s="3">
        <v>3754</v>
      </c>
      <c r="K16" s="3">
        <v>3697</v>
      </c>
      <c r="L16" s="3">
        <v>3915</v>
      </c>
      <c r="M16" s="3">
        <v>3856</v>
      </c>
      <c r="N16" s="3">
        <v>3807</v>
      </c>
      <c r="O16" s="3">
        <v>3775</v>
      </c>
      <c r="P16" s="3">
        <v>3843</v>
      </c>
    </row>
    <row r="17" spans="1:16" x14ac:dyDescent="0.25">
      <c r="A17" s="1">
        <v>16</v>
      </c>
      <c r="B17" s="3">
        <v>123</v>
      </c>
      <c r="C17" s="3">
        <v>100</v>
      </c>
      <c r="D17" s="3">
        <v>121</v>
      </c>
      <c r="E17" s="3">
        <v>110</v>
      </c>
      <c r="F17" s="3">
        <v>128</v>
      </c>
      <c r="G17" s="3">
        <v>108</v>
      </c>
      <c r="H17" s="3">
        <v>122</v>
      </c>
      <c r="I17" s="2"/>
      <c r="J17" s="3">
        <v>3751</v>
      </c>
      <c r="K17" s="3">
        <v>3696</v>
      </c>
      <c r="L17" s="3">
        <v>3916</v>
      </c>
      <c r="M17" s="3">
        <v>3856</v>
      </c>
      <c r="N17" s="3">
        <v>3803</v>
      </c>
      <c r="O17" s="3">
        <v>3779</v>
      </c>
      <c r="P17" s="3">
        <v>3840</v>
      </c>
    </row>
    <row r="18" spans="1:16" x14ac:dyDescent="0.25">
      <c r="A18" s="1">
        <v>17</v>
      </c>
      <c r="B18" s="3">
        <v>123</v>
      </c>
      <c r="C18" s="3">
        <v>100</v>
      </c>
      <c r="D18" s="3">
        <v>123</v>
      </c>
      <c r="E18" s="3">
        <v>109</v>
      </c>
      <c r="F18" s="3">
        <v>126</v>
      </c>
      <c r="G18" s="3">
        <v>111</v>
      </c>
      <c r="H18" s="3">
        <v>122</v>
      </c>
      <c r="I18" s="2"/>
      <c r="J18" s="3">
        <v>3758</v>
      </c>
      <c r="K18" s="3">
        <v>3692</v>
      </c>
      <c r="L18" s="3">
        <v>3913</v>
      </c>
      <c r="M18" s="3">
        <v>3858</v>
      </c>
      <c r="N18" s="3">
        <v>3807</v>
      </c>
      <c r="O18" s="3">
        <v>3776</v>
      </c>
      <c r="P18" s="3">
        <v>3846</v>
      </c>
    </row>
    <row r="19" spans="1:16" x14ac:dyDescent="0.25">
      <c r="A19" s="1">
        <v>18</v>
      </c>
      <c r="B19" s="3">
        <v>123</v>
      </c>
      <c r="C19" s="3">
        <v>99</v>
      </c>
      <c r="D19" s="3">
        <v>121</v>
      </c>
      <c r="E19" s="3">
        <v>110</v>
      </c>
      <c r="F19" s="3">
        <v>128</v>
      </c>
      <c r="G19" s="3">
        <v>111</v>
      </c>
      <c r="H19" s="3">
        <v>127</v>
      </c>
      <c r="I19" s="2"/>
      <c r="J19" s="3">
        <v>3749</v>
      </c>
      <c r="K19" s="3">
        <v>3696</v>
      </c>
      <c r="L19" s="3">
        <v>3915</v>
      </c>
      <c r="M19" s="3">
        <v>3854</v>
      </c>
      <c r="N19" s="3">
        <v>3803</v>
      </c>
      <c r="O19" s="3">
        <v>3775</v>
      </c>
      <c r="P19" s="3">
        <v>3842</v>
      </c>
    </row>
    <row r="20" spans="1:16" x14ac:dyDescent="0.25">
      <c r="A20" s="1">
        <v>19</v>
      </c>
      <c r="B20" s="3">
        <v>125</v>
      </c>
      <c r="C20" s="3">
        <v>100</v>
      </c>
      <c r="D20" s="3">
        <v>122</v>
      </c>
      <c r="E20" s="3">
        <v>112</v>
      </c>
      <c r="F20" s="3">
        <v>128</v>
      </c>
      <c r="G20" s="3">
        <v>111</v>
      </c>
      <c r="H20" s="3">
        <v>123</v>
      </c>
      <c r="I20" s="2"/>
      <c r="J20" s="3">
        <v>3747</v>
      </c>
      <c r="K20" s="3">
        <v>3696</v>
      </c>
      <c r="L20" s="3">
        <v>3913</v>
      </c>
      <c r="M20" s="3">
        <v>3857</v>
      </c>
      <c r="N20" s="3">
        <v>3799</v>
      </c>
      <c r="O20" s="3">
        <v>3779</v>
      </c>
      <c r="P20" s="3">
        <v>3845</v>
      </c>
    </row>
    <row r="21" spans="1:16" x14ac:dyDescent="0.25">
      <c r="A21" s="1">
        <v>20</v>
      </c>
      <c r="B21" s="3">
        <v>125</v>
      </c>
      <c r="C21" s="3">
        <v>99</v>
      </c>
      <c r="D21" s="3">
        <v>119</v>
      </c>
      <c r="E21" s="3">
        <v>111</v>
      </c>
      <c r="F21" s="3">
        <v>128</v>
      </c>
      <c r="G21" s="3">
        <v>111</v>
      </c>
      <c r="H21" s="3">
        <v>125</v>
      </c>
      <c r="I21" s="2"/>
      <c r="J21" s="3">
        <v>3758</v>
      </c>
      <c r="K21" s="3">
        <v>3696</v>
      </c>
      <c r="L21" s="3">
        <v>3917</v>
      </c>
      <c r="M21" s="3">
        <v>3857</v>
      </c>
      <c r="N21" s="3">
        <v>3799</v>
      </c>
      <c r="O21" s="3">
        <v>3776</v>
      </c>
      <c r="P21" s="3">
        <v>3845</v>
      </c>
    </row>
    <row r="22" spans="1:16" x14ac:dyDescent="0.25">
      <c r="A22" s="1">
        <v>21</v>
      </c>
      <c r="B22" s="3">
        <v>126</v>
      </c>
      <c r="C22" s="3">
        <v>102</v>
      </c>
      <c r="D22" s="3">
        <v>122</v>
      </c>
      <c r="E22" s="3">
        <v>109</v>
      </c>
      <c r="F22" s="3">
        <v>128</v>
      </c>
      <c r="G22" s="3">
        <v>112</v>
      </c>
      <c r="H22" s="3">
        <v>124</v>
      </c>
      <c r="I22" s="2"/>
      <c r="J22" s="3">
        <v>3756</v>
      </c>
      <c r="K22" s="3">
        <v>3696</v>
      </c>
      <c r="L22" s="3">
        <v>3918</v>
      </c>
      <c r="M22" s="3">
        <v>3855</v>
      </c>
      <c r="N22" s="3">
        <v>3805</v>
      </c>
      <c r="O22" s="3">
        <v>3781</v>
      </c>
      <c r="P22" s="3">
        <v>3851</v>
      </c>
    </row>
    <row r="23" spans="1:16" x14ac:dyDescent="0.25">
      <c r="A23" s="1">
        <v>22</v>
      </c>
      <c r="B23" s="3">
        <v>126</v>
      </c>
      <c r="C23" s="3">
        <v>99</v>
      </c>
      <c r="D23" s="3">
        <v>119</v>
      </c>
      <c r="E23" s="3">
        <v>112</v>
      </c>
      <c r="F23" s="3">
        <v>129</v>
      </c>
      <c r="G23" s="3">
        <v>109</v>
      </c>
      <c r="H23" s="3">
        <v>123</v>
      </c>
      <c r="I23" s="2"/>
      <c r="J23" s="3">
        <v>3747</v>
      </c>
      <c r="K23" s="3">
        <v>3693</v>
      </c>
      <c r="L23" s="3">
        <v>3916</v>
      </c>
      <c r="M23" s="3">
        <v>3857</v>
      </c>
      <c r="N23" s="3">
        <v>3803</v>
      </c>
      <c r="O23" s="3">
        <v>3771</v>
      </c>
      <c r="P23" s="3">
        <v>3844</v>
      </c>
    </row>
    <row r="24" spans="1:16" x14ac:dyDescent="0.25">
      <c r="A24" s="1">
        <v>23</v>
      </c>
      <c r="B24" s="3">
        <v>126</v>
      </c>
      <c r="C24" s="3">
        <v>99</v>
      </c>
      <c r="D24" s="3">
        <v>123</v>
      </c>
      <c r="E24" s="3">
        <v>111</v>
      </c>
      <c r="F24" s="3">
        <v>129</v>
      </c>
      <c r="G24" s="3">
        <v>111</v>
      </c>
      <c r="H24" s="3">
        <v>126</v>
      </c>
      <c r="I24" s="2"/>
      <c r="J24" s="3">
        <v>3755</v>
      </c>
      <c r="K24" s="3">
        <v>3696</v>
      </c>
      <c r="L24" s="3">
        <v>3915</v>
      </c>
      <c r="M24" s="3">
        <v>3855</v>
      </c>
      <c r="N24" s="3">
        <v>3806</v>
      </c>
      <c r="O24" s="3">
        <v>3773</v>
      </c>
      <c r="P24" s="3">
        <v>3847</v>
      </c>
    </row>
    <row r="25" spans="1:16" x14ac:dyDescent="0.25">
      <c r="A25" s="1">
        <v>24</v>
      </c>
      <c r="B25" s="3">
        <v>125</v>
      </c>
      <c r="C25" s="3">
        <v>101</v>
      </c>
      <c r="D25" s="3">
        <v>119</v>
      </c>
      <c r="E25" s="3">
        <v>111</v>
      </c>
      <c r="F25" s="3">
        <v>127</v>
      </c>
      <c r="G25" s="3">
        <v>111</v>
      </c>
      <c r="H25" s="3">
        <v>123</v>
      </c>
      <c r="I25" s="2"/>
      <c r="J25" s="3">
        <v>3751</v>
      </c>
      <c r="K25" s="3">
        <v>3693</v>
      </c>
      <c r="L25" s="3">
        <v>3918</v>
      </c>
      <c r="M25" s="3">
        <v>3855</v>
      </c>
      <c r="N25" s="3">
        <v>3807</v>
      </c>
      <c r="O25" s="3">
        <v>3783</v>
      </c>
      <c r="P25" s="3">
        <v>3846</v>
      </c>
    </row>
    <row r="26" spans="1:16" x14ac:dyDescent="0.25">
      <c r="A26" s="1">
        <v>25</v>
      </c>
      <c r="B26" s="3">
        <v>126</v>
      </c>
      <c r="C26" s="3">
        <v>100</v>
      </c>
      <c r="D26" s="3">
        <v>122</v>
      </c>
      <c r="E26" s="3">
        <v>112</v>
      </c>
      <c r="F26" s="3">
        <v>129</v>
      </c>
      <c r="G26" s="3">
        <v>111</v>
      </c>
      <c r="H26" s="3">
        <v>128</v>
      </c>
      <c r="I26" s="2"/>
      <c r="J26" s="3">
        <v>3757</v>
      </c>
      <c r="K26" s="3">
        <v>3696</v>
      </c>
      <c r="L26" s="3">
        <v>3920</v>
      </c>
      <c r="M26" s="3">
        <v>3854</v>
      </c>
      <c r="N26" s="3">
        <v>3806</v>
      </c>
      <c r="O26" s="3">
        <v>3781</v>
      </c>
      <c r="P26" s="3">
        <v>3847</v>
      </c>
    </row>
    <row r="27" spans="1:16" x14ac:dyDescent="0.25">
      <c r="A27" s="1">
        <v>26</v>
      </c>
      <c r="B27" s="3">
        <v>124</v>
      </c>
      <c r="C27" s="3">
        <v>102</v>
      </c>
      <c r="D27" s="3">
        <v>122</v>
      </c>
      <c r="E27" s="3">
        <v>112</v>
      </c>
      <c r="F27" s="3">
        <v>128</v>
      </c>
      <c r="G27" s="3">
        <v>112</v>
      </c>
      <c r="H27" s="3">
        <v>123</v>
      </c>
      <c r="I27" s="2"/>
      <c r="J27" s="3">
        <v>3755</v>
      </c>
      <c r="K27" s="3">
        <v>3694</v>
      </c>
      <c r="L27" s="3">
        <v>3911</v>
      </c>
      <c r="M27" s="3">
        <v>3856</v>
      </c>
      <c r="N27" s="3">
        <v>3803</v>
      </c>
      <c r="O27" s="3">
        <v>3775</v>
      </c>
      <c r="P27" s="3">
        <v>3846</v>
      </c>
    </row>
    <row r="28" spans="1:16" x14ac:dyDescent="0.25">
      <c r="A28" s="1">
        <v>27</v>
      </c>
      <c r="B28" s="3">
        <v>125</v>
      </c>
      <c r="C28" s="3">
        <v>100</v>
      </c>
      <c r="D28" s="3">
        <v>122</v>
      </c>
      <c r="E28" s="3">
        <v>112</v>
      </c>
      <c r="F28" s="3">
        <v>128</v>
      </c>
      <c r="G28" s="3">
        <v>110</v>
      </c>
      <c r="H28" s="3">
        <v>125</v>
      </c>
      <c r="I28" s="2"/>
      <c r="J28" s="3">
        <v>3747</v>
      </c>
      <c r="K28" s="3">
        <v>3696</v>
      </c>
      <c r="L28" s="3">
        <v>3911</v>
      </c>
      <c r="M28" s="3">
        <v>3856</v>
      </c>
      <c r="N28" s="3">
        <v>3802</v>
      </c>
      <c r="O28" s="3">
        <v>3775</v>
      </c>
      <c r="P28" s="3">
        <v>3844</v>
      </c>
    </row>
    <row r="29" spans="1:16" x14ac:dyDescent="0.25">
      <c r="A29" s="1">
        <v>28</v>
      </c>
      <c r="B29" s="3">
        <v>125</v>
      </c>
      <c r="C29" s="3">
        <v>94</v>
      </c>
      <c r="D29" s="3">
        <v>119</v>
      </c>
      <c r="E29" s="3">
        <v>99</v>
      </c>
      <c r="F29" s="3">
        <v>125</v>
      </c>
      <c r="G29" s="3">
        <v>103</v>
      </c>
      <c r="H29" s="3">
        <v>123</v>
      </c>
      <c r="I29" s="2"/>
      <c r="J29" s="3">
        <v>3756</v>
      </c>
      <c r="K29" s="3">
        <v>3696</v>
      </c>
      <c r="L29" s="3">
        <v>3909</v>
      </c>
      <c r="M29" s="3">
        <v>3853</v>
      </c>
      <c r="N29" s="3">
        <v>3806</v>
      </c>
      <c r="O29" s="3">
        <v>3773</v>
      </c>
      <c r="P29" s="3">
        <v>3844</v>
      </c>
    </row>
    <row r="30" spans="1:16" x14ac:dyDescent="0.25">
      <c r="A30" s="1">
        <v>29</v>
      </c>
      <c r="B30" s="3">
        <v>122</v>
      </c>
      <c r="C30" s="3">
        <v>93</v>
      </c>
      <c r="D30" s="3">
        <v>118</v>
      </c>
      <c r="E30" s="3">
        <v>103</v>
      </c>
      <c r="F30" s="3">
        <v>127</v>
      </c>
      <c r="G30" s="3">
        <v>103</v>
      </c>
      <c r="H30" s="3">
        <v>122</v>
      </c>
      <c r="I30" s="2"/>
      <c r="J30" s="3">
        <v>3754</v>
      </c>
      <c r="K30" s="3">
        <v>3696</v>
      </c>
      <c r="L30" s="3">
        <v>3920</v>
      </c>
      <c r="M30" s="3">
        <v>3856</v>
      </c>
      <c r="N30" s="3">
        <v>3797</v>
      </c>
      <c r="O30" s="3">
        <v>3774</v>
      </c>
      <c r="P30" s="3">
        <v>3847</v>
      </c>
    </row>
    <row r="31" spans="1:16" x14ac:dyDescent="0.25">
      <c r="A31" s="1">
        <v>30</v>
      </c>
      <c r="B31" s="3">
        <v>125</v>
      </c>
      <c r="C31" s="3">
        <v>92</v>
      </c>
      <c r="D31" s="3">
        <v>120</v>
      </c>
      <c r="E31" s="3">
        <v>103</v>
      </c>
      <c r="F31" s="3">
        <v>125</v>
      </c>
      <c r="G31" s="3">
        <v>106</v>
      </c>
      <c r="H31" s="3">
        <v>125</v>
      </c>
      <c r="I31" s="2"/>
      <c r="J31" s="3">
        <v>3748</v>
      </c>
      <c r="K31" s="3">
        <v>3694</v>
      </c>
      <c r="L31" s="3">
        <v>3914</v>
      </c>
      <c r="M31" s="3">
        <v>3858</v>
      </c>
      <c r="N31" s="3">
        <v>3805</v>
      </c>
      <c r="O31" s="3">
        <v>3781</v>
      </c>
      <c r="P31" s="3">
        <v>3849</v>
      </c>
    </row>
    <row r="32" spans="1:16" x14ac:dyDescent="0.25">
      <c r="A32" s="1" t="s">
        <v>0</v>
      </c>
      <c r="B32" s="1">
        <f>MIN(B2:B31)</f>
        <v>122</v>
      </c>
      <c r="C32" s="1">
        <f t="shared" ref="C32:H32" si="0">MIN(C2:C31)</f>
        <v>92</v>
      </c>
      <c r="D32" s="1">
        <f t="shared" si="0"/>
        <v>118</v>
      </c>
      <c r="E32" s="1">
        <f t="shared" si="0"/>
        <v>99</v>
      </c>
      <c r="F32" s="1">
        <f t="shared" si="0"/>
        <v>125</v>
      </c>
      <c r="G32" s="1">
        <f t="shared" si="0"/>
        <v>103</v>
      </c>
      <c r="H32" s="1">
        <f t="shared" si="0"/>
        <v>122</v>
      </c>
      <c r="I32" s="2"/>
      <c r="J32" s="1">
        <f>MIN(J2:J31)</f>
        <v>3747</v>
      </c>
      <c r="K32" s="1">
        <f t="shared" ref="K32:P32" si="1">MIN(K2:K31)</f>
        <v>3691</v>
      </c>
      <c r="L32" s="1">
        <f t="shared" si="1"/>
        <v>3909</v>
      </c>
      <c r="M32" s="1">
        <f t="shared" si="1"/>
        <v>3847</v>
      </c>
      <c r="N32" s="1">
        <f t="shared" si="1"/>
        <v>3797</v>
      </c>
      <c r="O32" s="1">
        <f t="shared" si="1"/>
        <v>3771</v>
      </c>
      <c r="P32" s="1">
        <f t="shared" si="1"/>
        <v>3839</v>
      </c>
    </row>
    <row r="33" spans="1:16" x14ac:dyDescent="0.25">
      <c r="A33" s="1" t="s">
        <v>1</v>
      </c>
      <c r="B33" s="1">
        <f>MAX(B2:B31)</f>
        <v>127</v>
      </c>
      <c r="C33" s="1">
        <f t="shared" ref="C33:H33" si="2">MAX(C2:C31)</f>
        <v>102</v>
      </c>
      <c r="D33" s="1">
        <f t="shared" si="2"/>
        <v>124</v>
      </c>
      <c r="E33" s="1">
        <f t="shared" si="2"/>
        <v>112</v>
      </c>
      <c r="F33" s="1">
        <f t="shared" si="2"/>
        <v>130</v>
      </c>
      <c r="G33" s="1">
        <f t="shared" si="2"/>
        <v>114</v>
      </c>
      <c r="H33" s="1">
        <f t="shared" si="2"/>
        <v>128</v>
      </c>
      <c r="I33" s="2"/>
      <c r="J33" s="1">
        <f>MAX(J2:J32)</f>
        <v>3759</v>
      </c>
      <c r="K33" s="1">
        <f t="shared" ref="K33:P33" si="3">MAX(K2:K32)</f>
        <v>3698</v>
      </c>
      <c r="L33" s="1">
        <f t="shared" si="3"/>
        <v>3920</v>
      </c>
      <c r="M33" s="1">
        <f t="shared" si="3"/>
        <v>3859</v>
      </c>
      <c r="N33" s="1">
        <f t="shared" si="3"/>
        <v>3810</v>
      </c>
      <c r="O33" s="1">
        <f t="shared" si="3"/>
        <v>3783</v>
      </c>
      <c r="P33" s="1">
        <f t="shared" si="3"/>
        <v>3851</v>
      </c>
    </row>
    <row r="34" spans="1:16" x14ac:dyDescent="0.25">
      <c r="A34" s="8" t="s">
        <v>10</v>
      </c>
      <c r="B34" s="8"/>
      <c r="C34" s="8">
        <f>ROUND(AVERAGE(B32:H32),0)</f>
        <v>112</v>
      </c>
      <c r="D34" s="8"/>
      <c r="E34" s="8"/>
      <c r="F34" s="8"/>
      <c r="G34" s="8"/>
      <c r="H34" s="8"/>
      <c r="I34" s="8" t="s">
        <v>11</v>
      </c>
      <c r="J34" s="8"/>
      <c r="K34" s="8">
        <f>ROUND(AVERAGE(J33:P33),0)</f>
        <v>3811</v>
      </c>
      <c r="L34" s="8"/>
      <c r="M34" s="8"/>
      <c r="N34" s="8"/>
      <c r="O34" s="8"/>
      <c r="P34" s="8"/>
    </row>
    <row r="35" spans="1:16" ht="15.75" thickBot="1" x14ac:dyDescent="0.3">
      <c r="A35" s="4" t="s">
        <v>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15.75" thickBot="1" x14ac:dyDescent="0.3">
      <c r="A36" s="5" t="s">
        <v>2</v>
      </c>
      <c r="B36" s="9">
        <f>ROUND((K34-C34)/(J33-B32),2)</f>
        <v>1.02</v>
      </c>
      <c r="C36" s="10"/>
      <c r="D36" s="10"/>
      <c r="E36" s="14" t="s">
        <v>12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6"/>
    </row>
    <row r="37" spans="1:16" ht="15.75" thickBot="1" x14ac:dyDescent="0.3">
      <c r="A37" s="6" t="s">
        <v>4</v>
      </c>
      <c r="B37" s="11">
        <f>ROUND((K34-C34)/(K33-C32),2)</f>
        <v>1.03</v>
      </c>
      <c r="C37" s="12"/>
      <c r="D37" s="13"/>
      <c r="E37" s="14" t="s">
        <v>13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6"/>
    </row>
    <row r="38" spans="1:16" ht="15.75" thickBot="1" x14ac:dyDescent="0.3">
      <c r="A38" s="6" t="s">
        <v>5</v>
      </c>
      <c r="B38" s="9">
        <f>ROUND((K34-C34)/(L33-D32),2)</f>
        <v>0.97</v>
      </c>
      <c r="C38" s="10"/>
      <c r="D38" s="10"/>
      <c r="E38" s="14" t="s">
        <v>14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6"/>
    </row>
    <row r="39" spans="1:16" ht="15.75" thickBot="1" x14ac:dyDescent="0.3">
      <c r="A39" s="6" t="s">
        <v>6</v>
      </c>
      <c r="B39" s="9">
        <f>ROUND((K34-C34)/(M33-E32),2)</f>
        <v>0.98</v>
      </c>
      <c r="C39" s="10"/>
      <c r="D39" s="10"/>
      <c r="E39" s="14" t="s">
        <v>15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6"/>
    </row>
    <row r="40" spans="1:16" ht="15.75" thickBot="1" x14ac:dyDescent="0.3">
      <c r="A40" s="6" t="s">
        <v>7</v>
      </c>
      <c r="B40" s="9">
        <f>ROUND((K34-C34)/(N33-F32),2)</f>
        <v>1</v>
      </c>
      <c r="C40" s="10"/>
      <c r="D40" s="10"/>
      <c r="E40" s="14" t="s">
        <v>16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6"/>
    </row>
    <row r="41" spans="1:16" ht="15.75" thickBot="1" x14ac:dyDescent="0.3">
      <c r="A41" s="6" t="s">
        <v>8</v>
      </c>
      <c r="B41" s="9">
        <f>ROUND((K34-C34)/(O33-G32),2)</f>
        <v>1.01</v>
      </c>
      <c r="C41" s="10"/>
      <c r="D41" s="10"/>
      <c r="E41" s="14" t="s">
        <v>17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6"/>
    </row>
    <row r="42" spans="1:16" ht="15.75" thickBot="1" x14ac:dyDescent="0.3">
      <c r="A42" s="7" t="s">
        <v>9</v>
      </c>
      <c r="B42" s="11">
        <f>ROUND((K34-C34)/(P33-H32),2)</f>
        <v>0.99</v>
      </c>
      <c r="C42" s="12"/>
      <c r="D42" s="12"/>
      <c r="E42" s="17" t="s">
        <v>18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9"/>
    </row>
  </sheetData>
  <mergeCells count="20">
    <mergeCell ref="B40:D40"/>
    <mergeCell ref="B41:D41"/>
    <mergeCell ref="B42:D42"/>
    <mergeCell ref="E36:P36"/>
    <mergeCell ref="E37:P37"/>
    <mergeCell ref="E38:P38"/>
    <mergeCell ref="E39:P39"/>
    <mergeCell ref="E40:P40"/>
    <mergeCell ref="E41:P41"/>
    <mergeCell ref="E42:P42"/>
    <mergeCell ref="A34:B34"/>
    <mergeCell ref="I34:J34"/>
    <mergeCell ref="C34:H34"/>
    <mergeCell ref="K34:P34"/>
    <mergeCell ref="B36:D36"/>
    <mergeCell ref="B37:D37"/>
    <mergeCell ref="B38:D38"/>
    <mergeCell ref="I1:I33"/>
    <mergeCell ref="A35:P35"/>
    <mergeCell ref="B39:D39"/>
  </mergeCells>
  <phoneticPr fontId="2" type="noConversion"/>
  <conditionalFormatting sqref="B1:H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P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2:H33 C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2:P33 K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nguyen tue lam</dc:creator>
  <cp:lastModifiedBy>pham nguyen tue lam</cp:lastModifiedBy>
  <dcterms:created xsi:type="dcterms:W3CDTF">2015-06-05T18:17:20Z</dcterms:created>
  <dcterms:modified xsi:type="dcterms:W3CDTF">2025-11-09T02:37:28Z</dcterms:modified>
</cp:coreProperties>
</file>